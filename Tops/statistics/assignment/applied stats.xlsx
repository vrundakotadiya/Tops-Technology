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statistics\assignment\"/>
    </mc:Choice>
  </mc:AlternateContent>
  <xr:revisionPtr revIDLastSave="0" documentId="13_ncr:1_{BBEDA1A1-3E05-4F63-8768-7A6232F49D04}" xr6:coauthVersionLast="47" xr6:coauthVersionMax="47" xr10:uidLastSave="{00000000-0000-0000-0000-000000000000}"/>
  <bookViews>
    <workbookView xWindow="-110" yWindow="-110" windowWidth="19420" windowHeight="10300" xr2:uid="{4241918F-4379-4D09-8C70-F9BAB4D9A0F9}"/>
  </bookViews>
  <sheets>
    <sheet name="Frequency Dist" sheetId="1" r:id="rId1"/>
    <sheet name="One sample t-test" sheetId="2" r:id="rId2"/>
    <sheet name="Independent - 2 sample t-test" sheetId="3" r:id="rId3"/>
    <sheet name="Paired t-test" sheetId="4" r:id="rId4"/>
    <sheet name="Z-test" sheetId="5" r:id="rId5"/>
  </sheets>
  <definedNames>
    <definedName name="_xlchart.v1.0" hidden="1">'Frequency Dist'!$M$1</definedName>
    <definedName name="_xlchart.v1.1" hidden="1">'Frequency Dist'!$M$2:$M$14</definedName>
    <definedName name="_xlchart.v1.10" hidden="1">'Frequency Dist'!$N$1</definedName>
    <definedName name="_xlchart.v1.11" hidden="1">'Frequency Dist'!$N$2:$N$14</definedName>
    <definedName name="_xlchart.v1.2" hidden="1">'Frequency Dist'!$N$1</definedName>
    <definedName name="_xlchart.v1.3" hidden="1">'Frequency Dist'!$N$2:$N$14</definedName>
    <definedName name="_xlchart.v1.4" hidden="1">'Frequency Dist'!$M$1</definedName>
    <definedName name="_xlchart.v1.5" hidden="1">'Frequency Dist'!$M$2:$M$14</definedName>
    <definedName name="_xlchart.v1.6" hidden="1">'Frequency Dist'!$N$1</definedName>
    <definedName name="_xlchart.v1.7" hidden="1">'Frequency Dist'!$N$2:$N$14</definedName>
    <definedName name="_xlchart.v1.8" hidden="1">'Frequency Dist'!$M$1</definedName>
    <definedName name="_xlchart.v1.9" hidden="1">'Frequency Dist'!$M$2:$M$14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2" l="1"/>
  <c r="F44" i="2"/>
  <c r="F63" i="2"/>
  <c r="G25" i="5"/>
  <c r="G24" i="5"/>
  <c r="G23" i="5"/>
  <c r="G22" i="5"/>
  <c r="F62" i="2"/>
  <c r="F43" i="2"/>
  <c r="F61" i="2"/>
  <c r="F59" i="2"/>
  <c r="F60" i="2"/>
  <c r="B77" i="5"/>
  <c r="B76" i="5"/>
  <c r="F41" i="2"/>
  <c r="F40" i="2"/>
  <c r="F39" i="2"/>
  <c r="F38" i="2"/>
  <c r="E21" i="2"/>
  <c r="F18" i="2"/>
  <c r="F16" i="2"/>
  <c r="F17" i="2" s="1"/>
  <c r="F14" i="2"/>
  <c r="F13" i="2"/>
  <c r="F12" i="2"/>
</calcChain>
</file>

<file path=xl/sharedStrings.xml><?xml version="1.0" encoding="utf-8"?>
<sst xmlns="http://schemas.openxmlformats.org/spreadsheetml/2006/main" count="126" uniqueCount="81">
  <si>
    <t>Student</t>
  </si>
  <si>
    <t>Test Score</t>
  </si>
  <si>
    <t>Bin</t>
  </si>
  <si>
    <t>More</t>
  </si>
  <si>
    <t>Frequency</t>
  </si>
  <si>
    <t>pop_mean</t>
  </si>
  <si>
    <t>n</t>
  </si>
  <si>
    <t>sam_std</t>
  </si>
  <si>
    <t>sam_mean</t>
  </si>
  <si>
    <t>T_stats</t>
  </si>
  <si>
    <t>p_value</t>
  </si>
  <si>
    <t>Mean = 50</t>
  </si>
  <si>
    <t>Ho</t>
  </si>
  <si>
    <t>M = 75</t>
  </si>
  <si>
    <t>Ha</t>
  </si>
  <si>
    <t>M!=75</t>
  </si>
  <si>
    <t xml:space="preserve">n </t>
  </si>
  <si>
    <t xml:space="preserve">df </t>
  </si>
  <si>
    <t>alpha</t>
  </si>
  <si>
    <t>t_stats</t>
  </si>
  <si>
    <t>p_valuw</t>
  </si>
  <si>
    <t>Shot #</t>
  </si>
  <si>
    <t>Caffeine (mg)</t>
  </si>
  <si>
    <t>Online Students</t>
  </si>
  <si>
    <t>In-Person Students</t>
  </si>
  <si>
    <t>M1=M2</t>
  </si>
  <si>
    <t>M1!=M2</t>
  </si>
  <si>
    <t xml:space="preserve">LOS 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</si>
  <si>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</si>
  <si>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</si>
  <si>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</si>
  <si>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</si>
  <si>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</si>
  <si>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</si>
  <si>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</si>
  <si>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</si>
  <si>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</si>
  <si>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</si>
  <si>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</si>
  <si>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</si>
  <si>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Participant</t>
  </si>
  <si>
    <t>Before (kg)</t>
  </si>
  <si>
    <t>After (kg)</t>
  </si>
  <si>
    <t>t-Test: Paired Two Sample for Means</t>
  </si>
  <si>
    <t>Pearson Correlation</t>
  </si>
  <si>
    <r>
      <t xml:space="preserve">Use cases for </t>
    </r>
    <r>
      <rPr>
        <sz val="10"/>
        <color theme="1"/>
        <rFont val="Arial Unicode MS"/>
      </rPr>
      <t>NORM.S.DIST</t>
    </r>
    <r>
      <rPr>
        <sz val="11"/>
        <color theme="1"/>
        <rFont val="Calibri"/>
        <family val="2"/>
        <scheme val="minor"/>
      </rPr>
      <t>:</t>
    </r>
  </si>
  <si>
    <r>
      <t xml:space="preserve">Use cases for </t>
    </r>
    <r>
      <rPr>
        <sz val="10"/>
        <color theme="1"/>
        <rFont val="Arial Unicode MS"/>
      </rPr>
      <t>Z.TEST</t>
    </r>
    <r>
      <rPr>
        <sz val="11"/>
        <color theme="1"/>
        <rFont val="Calibri"/>
        <family val="2"/>
        <scheme val="minor"/>
      </rPr>
      <t>:</t>
    </r>
  </si>
  <si>
    <t>Test Type</t>
  </si>
  <si>
    <t>Formula Example</t>
  </si>
  <si>
    <t>Explanation</t>
  </si>
  <si>
    <t>Formula</t>
  </si>
  <si>
    <t>Left-tailed</t>
  </si>
  <si>
    <t>NORM.S.DIST(Z, TRUE)</t>
  </si>
  <si>
    <t>p-value = area to left of Z</t>
  </si>
  <si>
    <t>Right-tailed</t>
  </si>
  <si>
    <t>Z.TEST(array, μ0, σ)</t>
  </si>
  <si>
    <t>Default — returns right-tail p-value</t>
  </si>
  <si>
    <t>1 - NORM.S.DIST(Z, TRUE)</t>
  </si>
  <si>
    <t>p-value = area to right of Z</t>
  </si>
  <si>
    <t>1 - Z.TEST(array, μ0, σ)</t>
  </si>
  <si>
    <t>Reverse the tail</t>
  </si>
  <si>
    <t>Two-tailed</t>
  </si>
  <si>
    <t>2*(1 - NORM.S.DIST(ABS(Z), TRUE))</t>
  </si>
  <si>
    <t>p-value = both sides (double area)</t>
  </si>
  <si>
    <t>2 * MIN(Z.TEST(array, μ0, σ), 1 - Z.TEST(array, μ0, σ))</t>
  </si>
  <si>
    <t>Double the smaller tail</t>
  </si>
  <si>
    <t>Branch</t>
  </si>
  <si>
    <t>Daily Sales ($)</t>
  </si>
  <si>
    <t xml:space="preserve">Std  </t>
  </si>
  <si>
    <t>pop_Std</t>
  </si>
  <si>
    <t>z_test</t>
  </si>
  <si>
    <t xml:space="preserve">Ho </t>
  </si>
  <si>
    <t>M=80</t>
  </si>
  <si>
    <t>t_test</t>
  </si>
  <si>
    <t>Degrees of freedom</t>
  </si>
  <si>
    <t>Sample Mean</t>
  </si>
  <si>
    <t>Sd</t>
  </si>
  <si>
    <t>mean</t>
  </si>
  <si>
    <t>z-test</t>
  </si>
  <si>
    <t>two-tailed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</si>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</sst>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'Frequency Dist'!$E$2:$E$12</c:f>
              <c:strCach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10">
                  <c:v>More</c:v>
                </c:pt>
              </c:strCache>
            </c:strRef>
          </c:cat>
          <c:val>
            <c:numRef>
              <c:f>'Frequency Dist'!$F$2:$F$12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2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3-41FE-B094-FEDC98BBC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009439"/>
        <c:axId val="361011839"/>
      </c:barChart>
      <c:catAx>
        <c:axId val="36100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11839"/>
        <c:crosses val="autoZero"/>
        <c:auto val="1"/>
        <c:lblAlgn val="ctr"/>
        <c:lblOffset val="100"/>
        <c:noMultiLvlLbl val="0"/>
      </c:catAx>
      <c:valAx>
        <c:axId val="361011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0094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14</xdr:row>
      <xdr:rowOff>120650</xdr:rowOff>
    </xdr:from>
    <xdr:to>
      <xdr:col>10</xdr:col>
      <xdr:colOff>342900</xdr:colOff>
      <xdr:row>25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A22D9-F0F6-CC90-3DD4-A25A0E1F9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234950</xdr:colOff>
      <xdr:row>0</xdr:row>
      <xdr:rowOff>107950</xdr:rowOff>
    </xdr:from>
    <xdr:to>
      <xdr:col>15</xdr:col>
      <xdr:colOff>139700</xdr:colOff>
      <xdr:row>7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6DA5A4-91FC-881E-03BD-D4DF60EE9E82}"/>
            </a:ext>
          </a:extLst>
        </xdr:cNvPr>
        <xdr:cNvSpPr txBox="1"/>
      </xdr:nvSpPr>
      <xdr:spPr>
        <a:xfrm>
          <a:off x="5721350" y="107950"/>
          <a:ext cx="3562350" cy="132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Question: A factory claims that the average weight of a product is 50 kg. A random sample of 10 products has the following weights (in kg): 49.8, 50.2, 50.1, 49.9, 50.0, 50.3, 50.4, 49.7, 50.1, 49.8. Test if the average weight is significantly different from 50 kg at a 5% significance level.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6</xdr:col>
      <xdr:colOff>184150</xdr:colOff>
      <xdr:row>47</xdr:row>
      <xdr:rowOff>152400</xdr:rowOff>
    </xdr:from>
    <xdr:to>
      <xdr:col>12</xdr:col>
      <xdr:colOff>400050</xdr:colOff>
      <xdr:row>52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835604-00CB-E092-7A68-BFC177EAD941}"/>
            </a:ext>
          </a:extLst>
        </xdr:cNvPr>
        <xdr:cNvSpPr txBox="1"/>
      </xdr:nvSpPr>
      <xdr:spPr>
        <a:xfrm>
          <a:off x="4781550" y="8991600"/>
          <a:ext cx="3873500" cy="90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coffee shop claims that the average amount of caffeine in their espresso shots is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mg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You collect a sample of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espresso shots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test if the average caffeine content differs from the claimed amount.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165100</xdr:rowOff>
    </xdr:from>
    <xdr:to>
      <xdr:col>13</xdr:col>
      <xdr:colOff>336550</xdr:colOff>
      <xdr:row>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A57FB2-69FE-CA26-E7E7-078430159CEC}"/>
            </a:ext>
          </a:extLst>
        </xdr:cNvPr>
        <xdr:cNvSpPr txBox="1"/>
      </xdr:nvSpPr>
      <xdr:spPr>
        <a:xfrm>
          <a:off x="5130800" y="165100"/>
          <a:ext cx="3130550" cy="59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You're comparing the test scores of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online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in-person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students to see if the teaching method affects performance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444500</xdr:colOff>
      <xdr:row>0</xdr:row>
      <xdr:rowOff>107950</xdr:rowOff>
    </xdr:from>
    <xdr:to>
      <xdr:col>17</xdr:col>
      <xdr:colOff>355600</xdr:colOff>
      <xdr:row>3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EB710F-FFB8-39C3-A4B3-ED43D5799669}"/>
            </a:ext>
          </a:extLst>
        </xdr:cNvPr>
        <xdr:cNvSpPr txBox="1"/>
      </xdr:nvSpPr>
      <xdr:spPr>
        <a:xfrm>
          <a:off x="7759700" y="107950"/>
          <a:ext cx="2959100" cy="73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want to test if a fitness program improves weight loss. You record weights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before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 weeks for 8 participants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532423</xdr:colOff>
      <xdr:row>11</xdr:row>
      <xdr:rowOff>87923</xdr:rowOff>
    </xdr:from>
    <xdr:to>
      <xdr:col>7</xdr:col>
      <xdr:colOff>1240693</xdr:colOff>
      <xdr:row>16</xdr:row>
      <xdr:rowOff>166077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41D361-6A1A-638B-AE2C-6A26BC0D3A6A}"/>
            </a:ext>
          </a:extLst>
        </xdr:cNvPr>
        <xdr:cNvSpPr txBox="1"/>
      </xdr:nvSpPr>
      <xdr:spPr>
        <a:xfrm>
          <a:off x="5666154" y="3038231"/>
          <a:ext cx="2784231" cy="1006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coffee shop chain claims that their average daily sales per branch is $500.</a:t>
          </a:r>
          <a:b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want to test this claim based on a sample of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 branches' daily sales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to see if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true mean differs from $500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6</xdr:col>
      <xdr:colOff>811696</xdr:colOff>
      <xdr:row>68</xdr:row>
      <xdr:rowOff>22086</xdr:rowOff>
    </xdr:from>
    <xdr:to>
      <xdr:col>9</xdr:col>
      <xdr:colOff>22087</xdr:colOff>
      <xdr:row>75</xdr:row>
      <xdr:rowOff>104913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BF71BC-6750-210A-E732-6365D4A26B7B}"/>
            </a:ext>
          </a:extLst>
        </xdr:cNvPr>
        <xdr:cNvSpPr txBox="1"/>
      </xdr:nvSpPr>
      <xdr:spPr>
        <a:xfrm>
          <a:off x="5930348" y="13346043"/>
          <a:ext cx="3307522" cy="135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company claims its light bulbs last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1,000 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average.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sample of 40 bulbs has a mean life of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980 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known population standard deviation (</a:t>
          </a:r>
          <a:r>
            <a:rPr lang="el-G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σ) = 80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at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 significance level (</a:t>
          </a:r>
          <a:r>
            <a:rPr lang="el-G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 = 0.05)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whether the bulbs last less than claimed.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678-CEB4-4F06-BEFE-41407A722C46}">
  <dimension ref="A1:S31"/>
  <sheetViews>
    <sheetView tabSelected="1" topLeftCell="B9" workbookViewId="0">
      <selection activeCell="M1" sqref="M1:N14"/>
    </sheetView>
  </sheetViews>
  <sheetFormatPr defaultRowHeight="14.5"/>
  <sheetData>
    <row r="1" spans="1:19" ht="29">
      <c r="A1" s="1" t="s">
        <v>0</v>
      </c>
      <c r="B1" s="1" t="s">
        <v>1</v>
      </c>
      <c r="C1" t="s">
        <v>2</v>
      </c>
      <c r="E1" s="4" t="s">
        <v>2</v>
      </c>
      <c r="F1" s="4" t="s">
        <v>4</v>
      </c>
      <c r="M1" s="4" t="s">
        <v>2</v>
      </c>
      <c r="N1" s="4" t="s">
        <v>4</v>
      </c>
      <c r="P1" s="4" t="s">
        <v>2</v>
      </c>
      <c r="Q1" s="4" t="s">
        <v>4</v>
      </c>
      <c r="R1" s="4" t="s">
        <v>2</v>
      </c>
      <c r="S1" s="4" t="s">
        <v>4</v>
      </c>
    </row>
    <row r="2" spans="1:19">
      <c r="A2" s="2">
        <v>1</v>
      </c>
      <c r="B2" s="2">
        <v>12</v>
      </c>
      <c r="E2">
        <v>10</v>
      </c>
      <c r="F2">
        <v>0</v>
      </c>
      <c r="M2">
        <v>0</v>
      </c>
      <c r="N2">
        <v>0</v>
      </c>
      <c r="P2">
        <v>10</v>
      </c>
      <c r="Q2">
        <v>0</v>
      </c>
      <c r="R2" t="s">
        <v>3</v>
      </c>
      <c r="S2" t="e">
        <v>#N/A</v>
      </c>
    </row>
    <row r="3" spans="1:19">
      <c r="A3" s="2">
        <v>2</v>
      </c>
      <c r="B3" s="2">
        <v>25</v>
      </c>
      <c r="C3">
        <v>10</v>
      </c>
      <c r="E3">
        <v>20</v>
      </c>
      <c r="F3">
        <v>1</v>
      </c>
      <c r="M3">
        <v>10</v>
      </c>
      <c r="N3">
        <v>0</v>
      </c>
      <c r="P3">
        <v>20</v>
      </c>
      <c r="Q3">
        <v>1</v>
      </c>
      <c r="R3">
        <v>90</v>
      </c>
      <c r="S3">
        <v>10</v>
      </c>
    </row>
    <row r="4" spans="1:19">
      <c r="A4" s="2">
        <v>3</v>
      </c>
      <c r="B4" s="2">
        <v>39</v>
      </c>
      <c r="C4">
        <v>20</v>
      </c>
      <c r="E4">
        <v>30</v>
      </c>
      <c r="F4">
        <v>2</v>
      </c>
      <c r="M4">
        <v>20</v>
      </c>
      <c r="N4">
        <v>1</v>
      </c>
      <c r="P4">
        <v>30</v>
      </c>
      <c r="Q4">
        <v>2</v>
      </c>
      <c r="R4">
        <v>80</v>
      </c>
      <c r="S4">
        <v>7</v>
      </c>
    </row>
    <row r="5" spans="1:19">
      <c r="A5" s="2">
        <v>4</v>
      </c>
      <c r="B5" s="2">
        <v>41</v>
      </c>
      <c r="C5">
        <v>30</v>
      </c>
      <c r="E5">
        <v>40</v>
      </c>
      <c r="F5">
        <v>2</v>
      </c>
      <c r="M5">
        <v>30</v>
      </c>
      <c r="N5">
        <v>2</v>
      </c>
      <c r="P5">
        <v>40</v>
      </c>
      <c r="Q5">
        <v>2</v>
      </c>
      <c r="R5">
        <v>30</v>
      </c>
      <c r="S5">
        <v>2</v>
      </c>
    </row>
    <row r="6" spans="1:19">
      <c r="A6" s="2">
        <v>5</v>
      </c>
      <c r="B6" s="2">
        <v>58</v>
      </c>
      <c r="C6">
        <v>40</v>
      </c>
      <c r="E6">
        <v>50</v>
      </c>
      <c r="F6">
        <v>2</v>
      </c>
      <c r="M6">
        <v>40</v>
      </c>
      <c r="N6">
        <v>2</v>
      </c>
      <c r="P6">
        <v>50</v>
      </c>
      <c r="Q6">
        <v>2</v>
      </c>
      <c r="R6">
        <v>40</v>
      </c>
      <c r="S6">
        <v>2</v>
      </c>
    </row>
    <row r="7" spans="1:19">
      <c r="A7" s="2">
        <v>6</v>
      </c>
      <c r="B7" s="2">
        <v>62</v>
      </c>
      <c r="C7">
        <v>50</v>
      </c>
      <c r="E7">
        <v>60</v>
      </c>
      <c r="F7">
        <v>2</v>
      </c>
      <c r="M7">
        <v>50</v>
      </c>
      <c r="N7">
        <v>2</v>
      </c>
      <c r="P7">
        <v>60</v>
      </c>
      <c r="Q7">
        <v>2</v>
      </c>
      <c r="R7">
        <v>50</v>
      </c>
      <c r="S7">
        <v>2</v>
      </c>
    </row>
    <row r="8" spans="1:19">
      <c r="A8" s="2">
        <v>7</v>
      </c>
      <c r="B8" s="2">
        <v>70</v>
      </c>
      <c r="C8">
        <v>60</v>
      </c>
      <c r="E8">
        <v>70</v>
      </c>
      <c r="F8">
        <v>2</v>
      </c>
      <c r="M8">
        <v>60</v>
      </c>
      <c r="N8">
        <v>2</v>
      </c>
      <c r="P8">
        <v>70</v>
      </c>
      <c r="Q8">
        <v>2</v>
      </c>
      <c r="R8">
        <v>60</v>
      </c>
      <c r="S8">
        <v>2</v>
      </c>
    </row>
    <row r="9" spans="1:19">
      <c r="A9" s="2">
        <v>8</v>
      </c>
      <c r="B9" s="2">
        <v>77</v>
      </c>
      <c r="C9">
        <v>70</v>
      </c>
      <c r="E9">
        <v>80</v>
      </c>
      <c r="F9">
        <v>7</v>
      </c>
      <c r="M9">
        <v>70</v>
      </c>
      <c r="N9">
        <v>2</v>
      </c>
      <c r="P9">
        <v>80</v>
      </c>
      <c r="Q9">
        <v>7</v>
      </c>
      <c r="R9">
        <v>70</v>
      </c>
      <c r="S9">
        <v>2</v>
      </c>
    </row>
    <row r="10" spans="1:19">
      <c r="A10" s="2">
        <v>9</v>
      </c>
      <c r="B10" s="2">
        <v>85</v>
      </c>
      <c r="C10">
        <v>80</v>
      </c>
      <c r="E10">
        <v>90</v>
      </c>
      <c r="F10">
        <v>10</v>
      </c>
      <c r="M10">
        <v>80</v>
      </c>
      <c r="N10">
        <v>7</v>
      </c>
      <c r="P10">
        <v>90</v>
      </c>
      <c r="Q10">
        <v>10</v>
      </c>
      <c r="S10">
        <v>2</v>
      </c>
    </row>
    <row r="11" spans="1:19">
      <c r="A11" s="2">
        <v>10</v>
      </c>
      <c r="B11" s="2">
        <v>92</v>
      </c>
      <c r="C11">
        <v>90</v>
      </c>
      <c r="F11">
        <v>2</v>
      </c>
      <c r="M11">
        <v>90</v>
      </c>
      <c r="N11">
        <v>10</v>
      </c>
      <c r="Q11">
        <v>2</v>
      </c>
      <c r="R11">
        <v>20</v>
      </c>
      <c r="S11">
        <v>1</v>
      </c>
    </row>
    <row r="12" spans="1:19" ht="15" thickBot="1">
      <c r="A12" s="2">
        <v>11</v>
      </c>
      <c r="B12" s="2">
        <v>98</v>
      </c>
      <c r="C12">
        <v>100</v>
      </c>
      <c r="E12" s="3" t="s">
        <v>3</v>
      </c>
      <c r="F12" s="3" t="e">
        <v>#N/A</v>
      </c>
      <c r="M12">
        <v>100</v>
      </c>
      <c r="N12">
        <v>2</v>
      </c>
      <c r="P12" s="3" t="s">
        <v>3</v>
      </c>
      <c r="Q12" s="3" t="e">
        <v>#N/A</v>
      </c>
      <c r="R12" s="3">
        <v>10</v>
      </c>
      <c r="S12" s="3">
        <v>0</v>
      </c>
    </row>
    <row r="13" spans="1:19" ht="15" thickBot="1">
      <c r="A13" s="2">
        <v>12</v>
      </c>
      <c r="B13" s="2">
        <v>35</v>
      </c>
      <c r="M13" s="3" t="s">
        <v>3</v>
      </c>
      <c r="N13" s="3">
        <v>0</v>
      </c>
    </row>
    <row r="14" spans="1:19">
      <c r="A14" s="2">
        <v>13</v>
      </c>
      <c r="B14" s="2">
        <v>23</v>
      </c>
    </row>
    <row r="15" spans="1:19">
      <c r="A15" s="2">
        <v>14</v>
      </c>
      <c r="B15" s="2">
        <v>45</v>
      </c>
    </row>
    <row r="16" spans="1:19">
      <c r="A16" s="2">
        <v>15</v>
      </c>
      <c r="B16" s="2">
        <v>60</v>
      </c>
    </row>
    <row r="17" spans="1:2">
      <c r="A17" s="2">
        <v>16</v>
      </c>
      <c r="B17" s="2">
        <v>75</v>
      </c>
    </row>
    <row r="18" spans="1:2">
      <c r="A18" s="2">
        <v>17</v>
      </c>
      <c r="B18" s="2">
        <v>76</v>
      </c>
    </row>
    <row r="19" spans="1:2">
      <c r="A19" s="2">
        <v>18</v>
      </c>
      <c r="B19" s="2">
        <v>77</v>
      </c>
    </row>
    <row r="20" spans="1:2">
      <c r="A20" s="2">
        <v>19</v>
      </c>
      <c r="B20" s="2">
        <v>78</v>
      </c>
    </row>
    <row r="21" spans="1:2">
      <c r="A21" s="2">
        <v>20</v>
      </c>
      <c r="B21" s="2">
        <v>79</v>
      </c>
    </row>
    <row r="22" spans="1:2">
      <c r="A22" s="2">
        <v>21</v>
      </c>
      <c r="B22" s="2">
        <v>80</v>
      </c>
    </row>
    <row r="23" spans="1:2">
      <c r="A23" s="2">
        <v>22</v>
      </c>
      <c r="B23" s="2">
        <v>81</v>
      </c>
    </row>
    <row r="24" spans="1:2">
      <c r="A24" s="2">
        <v>23</v>
      </c>
      <c r="B24" s="2">
        <v>82</v>
      </c>
    </row>
    <row r="25" spans="1:2">
      <c r="A25" s="2">
        <v>24</v>
      </c>
      <c r="B25" s="2">
        <v>83</v>
      </c>
    </row>
    <row r="26" spans="1:2">
      <c r="A26" s="2">
        <v>25</v>
      </c>
      <c r="B26" s="2">
        <v>84</v>
      </c>
    </row>
    <row r="27" spans="1:2">
      <c r="A27" s="2">
        <v>26</v>
      </c>
      <c r="B27" s="2">
        <v>85</v>
      </c>
    </row>
    <row r="28" spans="1:2">
      <c r="A28" s="2">
        <v>27</v>
      </c>
      <c r="B28" s="2">
        <v>86</v>
      </c>
    </row>
    <row r="29" spans="1:2">
      <c r="A29" s="2">
        <v>28</v>
      </c>
      <c r="B29" s="2">
        <v>87</v>
      </c>
    </row>
    <row r="30" spans="1:2">
      <c r="A30" s="2">
        <v>29</v>
      </c>
      <c r="B30" s="2">
        <v>88</v>
      </c>
    </row>
    <row r="31" spans="1:2">
      <c r="A31" s="2">
        <v>30</v>
      </c>
      <c r="B31" s="2">
        <v>89</v>
      </c>
    </row>
  </sheetData>
  <sortState xmlns:xlrd2="http://schemas.microsoft.com/office/spreadsheetml/2017/richdata2" ref="E2:E11">
    <sortCondition ref="E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7307-7999-46E5-B134-1827AF988DF8}">
  <dimension ref="A1:F65"/>
  <sheetViews>
    <sheetView topLeftCell="A51" workbookViewId="0">
      <selection activeCell="F44" sqref="F44"/>
    </sheetView>
  </sheetViews>
  <sheetFormatPr defaultRowHeight="14.5"/>
  <cols>
    <col min="5" max="6" width="15.453125" customWidth="1"/>
  </cols>
  <sheetData>
    <row r="1" spans="1:6">
      <c r="A1">
        <v>49.8</v>
      </c>
    </row>
    <row r="2" spans="1:6">
      <c r="A2">
        <v>50.2</v>
      </c>
    </row>
    <row r="3" spans="1:6">
      <c r="A3">
        <v>50.1</v>
      </c>
    </row>
    <row r="4" spans="1:6">
      <c r="A4">
        <v>49.9</v>
      </c>
    </row>
    <row r="5" spans="1:6">
      <c r="A5">
        <v>50</v>
      </c>
    </row>
    <row r="6" spans="1:6">
      <c r="A6">
        <v>50.3</v>
      </c>
    </row>
    <row r="7" spans="1:6">
      <c r="A7">
        <v>50.4</v>
      </c>
    </row>
    <row r="8" spans="1:6">
      <c r="A8">
        <v>49.7</v>
      </c>
    </row>
    <row r="9" spans="1:6">
      <c r="A9">
        <v>50.1</v>
      </c>
    </row>
    <row r="10" spans="1:6">
      <c r="A10">
        <v>49.8</v>
      </c>
    </row>
    <row r="11" spans="1:6">
      <c r="E11" t="s">
        <v>5</v>
      </c>
      <c r="F11">
        <v>50</v>
      </c>
    </row>
    <row r="12" spans="1:6">
      <c r="E12" t="s">
        <v>6</v>
      </c>
      <c r="F12">
        <f>COUNT(A1:A10)</f>
        <v>10</v>
      </c>
    </row>
    <row r="13" spans="1:6">
      <c r="E13" t="s">
        <v>7</v>
      </c>
      <c r="F13">
        <f>_xlfn.STDEV.S(A1:A10)</f>
        <v>0.23118054512532935</v>
      </c>
    </row>
    <row r="14" spans="1:6">
      <c r="E14" t="s">
        <v>8</v>
      </c>
      <c r="F14">
        <f>AVERAGE(A1:A10)</f>
        <v>50.03</v>
      </c>
    </row>
    <row r="16" spans="1:6">
      <c r="E16" t="s">
        <v>9</v>
      </c>
      <c r="F16">
        <f>(F14-F11)/(F13/SQRT(F12))</f>
        <v>0.41036467732881343</v>
      </c>
    </row>
    <row r="17" spans="5:6">
      <c r="E17" t="s">
        <v>10</v>
      </c>
      <c r="F17">
        <f>_xlfn.T.DIST.2T(F16,9)</f>
        <v>0.69113555051892417</v>
      </c>
    </row>
    <row r="18" spans="5:6">
      <c r="F18">
        <f>_xlfn.T.DIST.2T(F16,(F12-1))</f>
        <v>0.69113555051892417</v>
      </c>
    </row>
    <row r="21" spans="5:6">
      <c r="E21" t="b">
        <f>F18&lt;0.05</f>
        <v>0</v>
      </c>
    </row>
    <row r="22" spans="5:6">
      <c r="E22" t="s">
        <v>11</v>
      </c>
    </row>
    <row r="35" spans="1:6" ht="29">
      <c r="A35" s="1" t="s">
        <v>0</v>
      </c>
      <c r="B35" s="1" t="s">
        <v>1</v>
      </c>
      <c r="E35" t="s">
        <v>12</v>
      </c>
      <c r="F35" t="s">
        <v>13</v>
      </c>
    </row>
    <row r="36" spans="1:6">
      <c r="A36" s="2">
        <v>1</v>
      </c>
      <c r="B36" s="2">
        <v>78</v>
      </c>
      <c r="E36" t="s">
        <v>14</v>
      </c>
      <c r="F36" t="s">
        <v>15</v>
      </c>
    </row>
    <row r="37" spans="1:6">
      <c r="A37" s="2">
        <v>2</v>
      </c>
      <c r="B37" s="2">
        <v>82</v>
      </c>
    </row>
    <row r="38" spans="1:6">
      <c r="A38" s="2">
        <v>3</v>
      </c>
      <c r="B38" s="2">
        <v>70</v>
      </c>
      <c r="E38" t="s">
        <v>7</v>
      </c>
      <c r="F38">
        <f>_xlfn.STDEV.S(B36:B45)</f>
        <v>5.4201270997807587</v>
      </c>
    </row>
    <row r="39" spans="1:6">
      <c r="A39" s="2">
        <v>4</v>
      </c>
      <c r="B39" s="2">
        <v>76</v>
      </c>
      <c r="E39" t="s">
        <v>8</v>
      </c>
      <c r="F39">
        <f>AVERAGE(B36:B45)</f>
        <v>76.400000000000006</v>
      </c>
    </row>
    <row r="40" spans="1:6">
      <c r="A40" s="2">
        <v>5</v>
      </c>
      <c r="B40" s="2">
        <v>74</v>
      </c>
      <c r="E40" t="s">
        <v>16</v>
      </c>
      <c r="F40">
        <f>COUNT(B36:B45)</f>
        <v>10</v>
      </c>
    </row>
    <row r="41" spans="1:6">
      <c r="A41" s="2">
        <v>6</v>
      </c>
      <c r="B41" s="2">
        <v>80</v>
      </c>
      <c r="E41" t="s">
        <v>17</v>
      </c>
      <c r="F41">
        <f>F40-1</f>
        <v>9</v>
      </c>
    </row>
    <row r="42" spans="1:6">
      <c r="A42" s="2">
        <v>7</v>
      </c>
      <c r="B42" s="2">
        <v>68</v>
      </c>
      <c r="E42" t="s">
        <v>18</v>
      </c>
      <c r="F42">
        <v>0.05</v>
      </c>
    </row>
    <row r="43" spans="1:6">
      <c r="A43" s="2">
        <v>8</v>
      </c>
      <c r="B43" s="2">
        <v>85</v>
      </c>
      <c r="E43" t="s">
        <v>19</v>
      </c>
      <c r="F43">
        <f>(F39-75)/(F38/SQRT(F40))</f>
        <v>0.81680533366363806</v>
      </c>
    </row>
    <row r="44" spans="1:6">
      <c r="A44" s="2">
        <v>9</v>
      </c>
      <c r="B44" s="2">
        <v>79</v>
      </c>
      <c r="E44" t="s">
        <v>20</v>
      </c>
      <c r="F44">
        <f>_xlfn.T.DIST.2T(F43,F41)</f>
        <v>0.4351268779661962</v>
      </c>
    </row>
    <row r="45" spans="1:6">
      <c r="A45" s="2">
        <v>10</v>
      </c>
      <c r="B45" s="2">
        <v>72</v>
      </c>
    </row>
    <row r="50" spans="1:6" ht="29">
      <c r="A50" s="1" t="s">
        <v>21</v>
      </c>
      <c r="B50" s="1" t="s">
        <v>22</v>
      </c>
    </row>
    <row r="51" spans="1:6">
      <c r="A51" s="2">
        <v>1</v>
      </c>
      <c r="B51" s="2">
        <v>78</v>
      </c>
    </row>
    <row r="52" spans="1:6">
      <c r="A52" s="2">
        <v>2</v>
      </c>
      <c r="B52" s="2">
        <v>85</v>
      </c>
    </row>
    <row r="53" spans="1:6">
      <c r="A53" s="2">
        <v>3</v>
      </c>
      <c r="B53" s="2">
        <v>80</v>
      </c>
    </row>
    <row r="54" spans="1:6">
      <c r="A54" s="2">
        <v>4</v>
      </c>
      <c r="B54" s="2">
        <v>76</v>
      </c>
    </row>
    <row r="55" spans="1:6">
      <c r="A55" s="2">
        <v>5</v>
      </c>
      <c r="B55" s="2">
        <v>82</v>
      </c>
    </row>
    <row r="56" spans="1:6">
      <c r="A56" s="2">
        <v>6</v>
      </c>
      <c r="B56" s="2">
        <v>79</v>
      </c>
      <c r="E56" t="s">
        <v>71</v>
      </c>
      <c r="F56" t="s">
        <v>72</v>
      </c>
    </row>
    <row r="57" spans="1:6">
      <c r="A57" s="2">
        <v>7</v>
      </c>
      <c r="B57" s="2">
        <v>81</v>
      </c>
    </row>
    <row r="58" spans="1:6">
      <c r="A58" s="2">
        <v>8</v>
      </c>
      <c r="B58" s="2">
        <v>83</v>
      </c>
    </row>
    <row r="59" spans="1:6">
      <c r="A59" s="2">
        <v>9</v>
      </c>
      <c r="B59" s="2">
        <v>77</v>
      </c>
      <c r="E59" t="s">
        <v>7</v>
      </c>
      <c r="F59">
        <f>_xlfn.STDEV.S(B51:B60)</f>
        <v>3.0276503540974917</v>
      </c>
    </row>
    <row r="60" spans="1:6">
      <c r="A60" s="2">
        <v>10</v>
      </c>
      <c r="B60" s="2">
        <v>84</v>
      </c>
      <c r="E60" t="s">
        <v>8</v>
      </c>
      <c r="F60">
        <f>AVERAGE(B51:B60)</f>
        <v>80.5</v>
      </c>
    </row>
    <row r="61" spans="1:6">
      <c r="E61" t="s">
        <v>6</v>
      </c>
      <c r="F61">
        <f>COUNT(B51:B60)</f>
        <v>10</v>
      </c>
    </row>
    <row r="62" spans="1:6">
      <c r="E62" t="s">
        <v>74</v>
      </c>
      <c r="F62">
        <f>F61-1</f>
        <v>9</v>
      </c>
    </row>
    <row r="63" spans="1:6">
      <c r="E63" t="s">
        <v>73</v>
      </c>
      <c r="F63">
        <f>(F60-80)/(F59/SQRT(F61))</f>
        <v>0.5222329678670935</v>
      </c>
    </row>
    <row r="64" spans="1:6">
      <c r="E64" t="s">
        <v>18</v>
      </c>
      <c r="F64">
        <v>0.05</v>
      </c>
    </row>
    <row r="65" spans="5:6">
      <c r="E65" t="s">
        <v>80</v>
      </c>
      <c r="F65">
        <f>_xlfn.T.DIST.2T(F63,F62)</f>
        <v>0.61411725480839396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E19B-5B73-4A0C-8FFB-A3DBC158984E}">
  <dimension ref="A2:J21"/>
  <sheetViews>
    <sheetView topLeftCell="A38" workbookViewId="0">
      <selection activeCell="E9" sqref="E9"/>
    </sheetView>
  </sheetViews>
  <sheetFormatPr defaultRowHeight="14.5"/>
  <cols>
    <col min="8" max="9" width="23.36328125" customWidth="1"/>
  </cols>
  <sheetData>
    <row r="2" spans="1:10" ht="43.5">
      <c r="A2" s="1" t="s">
        <v>23</v>
      </c>
      <c r="B2" s="1" t="s">
        <v>24</v>
      </c>
    </row>
    <row r="3" spans="1:10">
      <c r="A3" s="2">
        <v>78</v>
      </c>
      <c r="B3" s="2">
        <v>84</v>
      </c>
      <c r="D3" t="s">
        <v>12</v>
      </c>
      <c r="E3" t="s">
        <v>25</v>
      </c>
    </row>
    <row r="4" spans="1:10">
      <c r="A4" s="2">
        <v>74</v>
      </c>
      <c r="B4" s="2">
        <v>85</v>
      </c>
      <c r="D4" t="s">
        <v>14</v>
      </c>
      <c r="E4" t="s">
        <v>26</v>
      </c>
    </row>
    <row r="5" spans="1:10">
      <c r="A5" s="2">
        <v>69</v>
      </c>
      <c r="B5" s="2">
        <v>80</v>
      </c>
    </row>
    <row r="6" spans="1:10">
      <c r="A6" s="2">
        <v>81</v>
      </c>
      <c r="B6" s="2">
        <v>87</v>
      </c>
      <c r="D6" t="s">
        <v>27</v>
      </c>
      <c r="E6">
        <v>0.05</v>
      </c>
    </row>
    <row r="7" spans="1:10">
      <c r="A7" s="2">
        <v>77</v>
      </c>
      <c r="B7" s="2">
        <v>83</v>
      </c>
    </row>
    <row r="8" spans="1:10">
      <c r="A8" s="2">
        <v>73</v>
      </c>
      <c r="B8" s="2">
        <v>82</v>
      </c>
      <c r="H8" t="s">
        <v>28</v>
      </c>
    </row>
    <row r="9" spans="1:10" ht="15" thickBot="1"/>
    <row r="10" spans="1:10">
      <c r="H10" s="4"/>
      <c r="I10" s="4" t="s">
        <v>23</v>
      </c>
      <c r="J10" s="4" t="s">
        <v>24</v>
      </c>
    </row>
    <row r="11" spans="1:10">
      <c r="H11" t="s">
        <v>29</v>
      </c>
      <c r="I11">
        <v>75.333333333333329</v>
      </c>
      <c r="J11">
        <v>83.5</v>
      </c>
    </row>
    <row r="12" spans="1:10">
      <c r="H12" t="s">
        <v>30</v>
      </c>
      <c r="I12">
        <v>17.866666666666667</v>
      </c>
      <c r="J12">
        <v>5.9</v>
      </c>
    </row>
    <row r="13" spans="1:10">
      <c r="H13" t="s">
        <v>31</v>
      </c>
      <c r="I13">
        <v>6</v>
      </c>
      <c r="J13">
        <v>6</v>
      </c>
    </row>
    <row r="14" spans="1:10">
      <c r="H14" t="s">
        <v>32</v>
      </c>
      <c r="I14">
        <v>11.883333333333335</v>
      </c>
    </row>
    <row r="15" spans="1:10">
      <c r="H15" t="s">
        <v>33</v>
      </c>
      <c r="I15">
        <v>0</v>
      </c>
    </row>
    <row r="16" spans="1:10">
      <c r="H16" t="s">
        <v>34</v>
      </c>
      <c r="I16">
        <v>10</v>
      </c>
    </row>
    <row r="17" spans="8:10">
      <c r="H17" t="s">
        <v>35</v>
      </c>
      <c r="I17">
        <v>-4.1033287892728252</v>
      </c>
    </row>
    <row r="18" spans="8:10">
      <c r="H18" t="s">
        <v>36</v>
      </c>
      <c r="I18">
        <v>1.0665939724847338E-3</v>
      </c>
    </row>
    <row r="19" spans="8:10">
      <c r="H19" t="s">
        <v>37</v>
      </c>
      <c r="I19">
        <v>1.812461122811676</v>
      </c>
    </row>
    <row r="20" spans="8:10">
      <c r="H20" t="s">
        <v>38</v>
      </c>
      <c r="I20">
        <v>2.1331879449694676E-3</v>
      </c>
    </row>
    <row r="21" spans="8:10" ht="15" thickBot="1">
      <c r="H21" s="3" t="s">
        <v>39</v>
      </c>
      <c r="I21" s="3">
        <v>2.2281388519862744</v>
      </c>
      <c r="J21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FECE-46A0-4468-973C-7AE09157E481}">
  <dimension ref="A1:I14"/>
  <sheetViews>
    <sheetView topLeftCell="A91" workbookViewId="0">
      <selection activeCell="H11" sqref="H11"/>
    </sheetView>
  </sheetViews>
  <sheetFormatPr defaultRowHeight="14.5"/>
  <cols>
    <col min="7" max="7" width="17.1796875" customWidth="1"/>
  </cols>
  <sheetData>
    <row r="1" spans="1:9" ht="29">
      <c r="A1" s="1" t="s">
        <v>40</v>
      </c>
      <c r="B1" s="1" t="s">
        <v>41</v>
      </c>
      <c r="C1" s="1" t="s">
        <v>42</v>
      </c>
      <c r="G1" t="s">
        <v>43</v>
      </c>
    </row>
    <row r="2" spans="1:9" ht="15" thickBot="1">
      <c r="A2" s="2">
        <v>1</v>
      </c>
      <c r="B2" s="2">
        <v>85</v>
      </c>
      <c r="C2" s="2">
        <v>82</v>
      </c>
    </row>
    <row r="3" spans="1:9">
      <c r="A3" s="2">
        <v>2</v>
      </c>
      <c r="B3" s="2">
        <v>90</v>
      </c>
      <c r="C3" s="2">
        <v>87</v>
      </c>
      <c r="G3" s="4"/>
      <c r="H3" s="4" t="s">
        <v>41</v>
      </c>
      <c r="I3" s="4" t="s">
        <v>42</v>
      </c>
    </row>
    <row r="4" spans="1:9">
      <c r="A4" s="2">
        <v>3</v>
      </c>
      <c r="B4" s="2">
        <v>78</v>
      </c>
      <c r="C4" s="2">
        <v>75</v>
      </c>
      <c r="G4" t="s">
        <v>29</v>
      </c>
      <c r="H4">
        <v>87</v>
      </c>
      <c r="I4">
        <v>83.75</v>
      </c>
    </row>
    <row r="5" spans="1:9">
      <c r="A5" s="2">
        <v>4</v>
      </c>
      <c r="B5" s="2">
        <v>88</v>
      </c>
      <c r="C5" s="2">
        <v>84</v>
      </c>
      <c r="G5" t="s">
        <v>30</v>
      </c>
      <c r="H5">
        <v>31.428571428571427</v>
      </c>
      <c r="I5">
        <v>29.071428571428573</v>
      </c>
    </row>
    <row r="6" spans="1:9">
      <c r="A6" s="2">
        <v>5</v>
      </c>
      <c r="B6" s="2">
        <v>92</v>
      </c>
      <c r="C6" s="2">
        <v>89</v>
      </c>
      <c r="G6" t="s">
        <v>31</v>
      </c>
      <c r="H6">
        <v>8</v>
      </c>
      <c r="I6">
        <v>8</v>
      </c>
    </row>
    <row r="7" spans="1:9">
      <c r="A7" s="2">
        <v>6</v>
      </c>
      <c r="B7" s="2">
        <v>81</v>
      </c>
      <c r="C7" s="2">
        <v>78</v>
      </c>
      <c r="G7" t="s">
        <v>44</v>
      </c>
      <c r="H7">
        <v>0.99721524250925198</v>
      </c>
    </row>
    <row r="8" spans="1:9">
      <c r="A8" s="2">
        <v>7</v>
      </c>
      <c r="B8" s="2">
        <v>95</v>
      </c>
      <c r="C8" s="2">
        <v>91</v>
      </c>
      <c r="G8" t="s">
        <v>33</v>
      </c>
      <c r="H8">
        <v>0</v>
      </c>
    </row>
    <row r="9" spans="1:9">
      <c r="A9" s="2">
        <v>8</v>
      </c>
      <c r="B9" s="2">
        <v>87</v>
      </c>
      <c r="C9" s="2">
        <v>84</v>
      </c>
      <c r="G9" t="s">
        <v>34</v>
      </c>
      <c r="H9">
        <v>7</v>
      </c>
    </row>
    <row r="10" spans="1:9">
      <c r="G10" t="s">
        <v>35</v>
      </c>
      <c r="H10">
        <v>19.857828011475309</v>
      </c>
    </row>
    <row r="11" spans="1:9">
      <c r="G11" t="s">
        <v>36</v>
      </c>
      <c r="H11" s="9">
        <v>1.02670209616153E-7</v>
      </c>
    </row>
    <row r="12" spans="1:9">
      <c r="G12" t="s">
        <v>37</v>
      </c>
      <c r="H12">
        <v>1.8945786050900073</v>
      </c>
    </row>
    <row r="13" spans="1:9">
      <c r="G13" t="s">
        <v>38</v>
      </c>
      <c r="H13">
        <v>2.0534041923230693E-7</v>
      </c>
    </row>
    <row r="14" spans="1:9" ht="15" thickBot="1">
      <c r="G14" s="3" t="s">
        <v>39</v>
      </c>
      <c r="H14" s="3">
        <v>2.3646242515927849</v>
      </c>
      <c r="I14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3988-7A54-41EF-9820-87C788151B3E}">
  <dimension ref="A2:H77"/>
  <sheetViews>
    <sheetView zoomScale="115" zoomScaleNormal="115" workbookViewId="0">
      <selection activeCell="E26" sqref="E26"/>
    </sheetView>
  </sheetViews>
  <sheetFormatPr defaultRowHeight="14.5"/>
  <cols>
    <col min="1" max="1" width="10.26953125" customWidth="1"/>
    <col min="2" max="2" width="13.1796875" customWidth="1"/>
    <col min="3" max="3" width="21.08984375" bestFit="1" customWidth="1"/>
    <col min="4" max="4" width="12.90625" bestFit="1" customWidth="1"/>
    <col min="6" max="6" width="19.08984375" bestFit="1" customWidth="1"/>
    <col min="7" max="7" width="29.7265625" customWidth="1"/>
    <col min="8" max="8" width="20.26953125" customWidth="1"/>
  </cols>
  <sheetData>
    <row r="2" spans="2:8">
      <c r="B2" t="s">
        <v>45</v>
      </c>
      <c r="F2" t="s">
        <v>46</v>
      </c>
    </row>
    <row r="3" spans="2:8">
      <c r="B3" s="5" t="s">
        <v>47</v>
      </c>
      <c r="C3" s="5" t="s">
        <v>48</v>
      </c>
      <c r="D3" s="5" t="s">
        <v>49</v>
      </c>
      <c r="F3" s="5" t="s">
        <v>47</v>
      </c>
      <c r="G3" s="5" t="s">
        <v>50</v>
      </c>
      <c r="H3" s="5" t="s">
        <v>49</v>
      </c>
    </row>
    <row r="4" spans="2:8" ht="29">
      <c r="B4" s="5" t="s">
        <v>51</v>
      </c>
      <c r="C4" s="6" t="s">
        <v>52</v>
      </c>
      <c r="D4" s="7" t="s">
        <v>53</v>
      </c>
      <c r="F4" s="5" t="s">
        <v>54</v>
      </c>
      <c r="G4" s="6" t="s">
        <v>55</v>
      </c>
      <c r="H4" s="7" t="s">
        <v>56</v>
      </c>
    </row>
    <row r="5" spans="2:8" ht="29">
      <c r="B5" s="5" t="s">
        <v>54</v>
      </c>
      <c r="C5" s="6" t="s">
        <v>57</v>
      </c>
      <c r="D5" s="7" t="s">
        <v>58</v>
      </c>
      <c r="F5" s="5" t="s">
        <v>51</v>
      </c>
      <c r="G5" s="6" t="s">
        <v>59</v>
      </c>
      <c r="H5" s="7" t="s">
        <v>60</v>
      </c>
    </row>
    <row r="6" spans="2:8" ht="43.5">
      <c r="B6" s="5" t="s">
        <v>61</v>
      </c>
      <c r="C6" s="6" t="s">
        <v>62</v>
      </c>
      <c r="D6" s="7" t="s">
        <v>63</v>
      </c>
      <c r="F6" s="5" t="s">
        <v>61</v>
      </c>
      <c r="G6" s="6" t="s">
        <v>64</v>
      </c>
      <c r="H6" s="7" t="s">
        <v>65</v>
      </c>
    </row>
    <row r="12" spans="2:8">
      <c r="B12" s="1" t="s">
        <v>66</v>
      </c>
      <c r="C12" s="1" t="s">
        <v>67</v>
      </c>
    </row>
    <row r="13" spans="2:8">
      <c r="B13" s="2">
        <v>1</v>
      </c>
      <c r="C13" s="2">
        <v>510</v>
      </c>
    </row>
    <row r="14" spans="2:8">
      <c r="B14" s="2">
        <v>2</v>
      </c>
      <c r="C14" s="2">
        <v>495</v>
      </c>
      <c r="E14" t="s">
        <v>68</v>
      </c>
      <c r="F14">
        <v>15</v>
      </c>
    </row>
    <row r="15" spans="2:8">
      <c r="B15" s="2">
        <v>3</v>
      </c>
      <c r="C15" s="2">
        <v>525</v>
      </c>
    </row>
    <row r="16" spans="2:8">
      <c r="B16" s="2">
        <v>4</v>
      </c>
      <c r="C16" s="2">
        <v>480</v>
      </c>
    </row>
    <row r="17" spans="2:7">
      <c r="B17" s="2">
        <v>5</v>
      </c>
      <c r="C17" s="2">
        <v>470</v>
      </c>
    </row>
    <row r="18" spans="2:7">
      <c r="B18" s="2">
        <v>6</v>
      </c>
      <c r="C18" s="2">
        <v>500</v>
      </c>
    </row>
    <row r="19" spans="2:7">
      <c r="B19" s="2">
        <v>7</v>
      </c>
      <c r="C19" s="2">
        <v>490</v>
      </c>
    </row>
    <row r="20" spans="2:7">
      <c r="B20" s="2">
        <v>8</v>
      </c>
      <c r="C20" s="2">
        <v>530</v>
      </c>
    </row>
    <row r="21" spans="2:7">
      <c r="B21" s="2">
        <v>9</v>
      </c>
      <c r="C21" s="2">
        <v>510</v>
      </c>
      <c r="F21" t="s">
        <v>77</v>
      </c>
      <c r="G21">
        <v>500</v>
      </c>
    </row>
    <row r="22" spans="2:7">
      <c r="B22" s="2">
        <v>10</v>
      </c>
      <c r="C22" s="2">
        <v>485</v>
      </c>
      <c r="F22" t="s">
        <v>75</v>
      </c>
      <c r="G22" s="8">
        <f>AVERAGE(C13:C47)</f>
        <v>499.28571428571428</v>
      </c>
    </row>
    <row r="23" spans="2:7">
      <c r="B23" s="2">
        <v>11</v>
      </c>
      <c r="C23" s="2">
        <v>505</v>
      </c>
      <c r="F23" t="s">
        <v>76</v>
      </c>
      <c r="G23" s="8">
        <f>_xlfn.STDEV.S(C13:C47)</f>
        <v>15.910727843320107</v>
      </c>
    </row>
    <row r="24" spans="2:7">
      <c r="B24" s="2">
        <v>12</v>
      </c>
      <c r="C24" s="2">
        <v>495</v>
      </c>
      <c r="F24" t="s">
        <v>6</v>
      </c>
      <c r="G24">
        <f>COUNT(C13:C47)</f>
        <v>35</v>
      </c>
    </row>
    <row r="25" spans="2:7">
      <c r="B25" s="2">
        <v>13</v>
      </c>
      <c r="C25" s="2">
        <v>500</v>
      </c>
      <c r="F25" t="s">
        <v>78</v>
      </c>
      <c r="G25">
        <f>(G22-G21)/(G23/SQRT(G24))</f>
        <v>-0.26559258100921895</v>
      </c>
    </row>
    <row r="26" spans="2:7">
      <c r="B26" s="2">
        <v>14</v>
      </c>
      <c r="C26" s="2">
        <v>475</v>
      </c>
      <c r="F26" t="s">
        <v>79</v>
      </c>
    </row>
    <row r="27" spans="2:7">
      <c r="B27" s="2">
        <v>15</v>
      </c>
      <c r="C27" s="2">
        <v>515</v>
      </c>
    </row>
    <row r="28" spans="2:7">
      <c r="B28" s="2">
        <v>16</v>
      </c>
      <c r="C28" s="2">
        <v>520</v>
      </c>
    </row>
    <row r="29" spans="2:7">
      <c r="B29" s="2">
        <v>17</v>
      </c>
      <c r="C29" s="2">
        <v>510</v>
      </c>
    </row>
    <row r="30" spans="2:7">
      <c r="B30" s="2">
        <v>18</v>
      </c>
      <c r="C30" s="2">
        <v>480</v>
      </c>
    </row>
    <row r="31" spans="2:7">
      <c r="B31" s="2">
        <v>19</v>
      </c>
      <c r="C31" s="2">
        <v>500</v>
      </c>
    </row>
    <row r="32" spans="2:7">
      <c r="B32" s="2">
        <v>20</v>
      </c>
      <c r="C32" s="2">
        <v>490</v>
      </c>
    </row>
    <row r="33" spans="2:3">
      <c r="B33" s="2">
        <v>21</v>
      </c>
      <c r="C33" s="2">
        <v>505</v>
      </c>
    </row>
    <row r="34" spans="2:3">
      <c r="B34" s="2">
        <v>22</v>
      </c>
      <c r="C34" s="2">
        <v>475</v>
      </c>
    </row>
    <row r="35" spans="2:3">
      <c r="B35" s="2">
        <v>23</v>
      </c>
      <c r="C35" s="2">
        <v>495</v>
      </c>
    </row>
    <row r="36" spans="2:3">
      <c r="B36" s="2">
        <v>24</v>
      </c>
      <c r="C36" s="2">
        <v>515</v>
      </c>
    </row>
    <row r="37" spans="2:3">
      <c r="B37" s="2">
        <v>25</v>
      </c>
      <c r="C37" s="2">
        <v>500</v>
      </c>
    </row>
    <row r="38" spans="2:3">
      <c r="B38" s="2">
        <v>26</v>
      </c>
      <c r="C38" s="2">
        <v>510</v>
      </c>
    </row>
    <row r="39" spans="2:3">
      <c r="B39" s="2">
        <v>27</v>
      </c>
      <c r="C39" s="2">
        <v>470</v>
      </c>
    </row>
    <row r="40" spans="2:3">
      <c r="B40" s="2">
        <v>28</v>
      </c>
      <c r="C40" s="2">
        <v>520</v>
      </c>
    </row>
    <row r="41" spans="2:3">
      <c r="B41" s="2">
        <v>29</v>
      </c>
      <c r="C41" s="2">
        <v>480</v>
      </c>
    </row>
    <row r="42" spans="2:3">
      <c r="B42" s="2">
        <v>30</v>
      </c>
      <c r="C42" s="2">
        <v>500</v>
      </c>
    </row>
    <row r="43" spans="2:3">
      <c r="B43" s="2">
        <v>31</v>
      </c>
      <c r="C43" s="2">
        <v>490</v>
      </c>
    </row>
    <row r="44" spans="2:3">
      <c r="B44" s="2">
        <v>32</v>
      </c>
      <c r="C44" s="2">
        <v>510</v>
      </c>
    </row>
    <row r="45" spans="2:3">
      <c r="B45" s="2">
        <v>33</v>
      </c>
      <c r="C45" s="2">
        <v>505</v>
      </c>
    </row>
    <row r="46" spans="2:3">
      <c r="B46" s="2">
        <v>34</v>
      </c>
      <c r="C46" s="2">
        <v>495</v>
      </c>
    </row>
    <row r="47" spans="2:3">
      <c r="B47" s="2">
        <v>35</v>
      </c>
      <c r="C47" s="2">
        <v>520</v>
      </c>
    </row>
    <row r="69" spans="1:2">
      <c r="A69" t="s">
        <v>5</v>
      </c>
      <c r="B69">
        <v>1000</v>
      </c>
    </row>
    <row r="70" spans="1:2">
      <c r="A70" t="s">
        <v>8</v>
      </c>
      <c r="B70">
        <v>980</v>
      </c>
    </row>
    <row r="71" spans="1:2">
      <c r="A71" t="s">
        <v>69</v>
      </c>
      <c r="B71">
        <v>80</v>
      </c>
    </row>
    <row r="72" spans="1:2">
      <c r="A72" t="s">
        <v>6</v>
      </c>
      <c r="B72">
        <v>40</v>
      </c>
    </row>
    <row r="73" spans="1:2">
      <c r="A73" t="s">
        <v>18</v>
      </c>
      <c r="B73">
        <v>0.05</v>
      </c>
    </row>
    <row r="76" spans="1:2">
      <c r="A76" t="s">
        <v>70</v>
      </c>
      <c r="B76">
        <f>(B70-B69)/(B71/SQRT(B72))</f>
        <v>-1.5811388300841898</v>
      </c>
    </row>
    <row r="77" spans="1:2">
      <c r="A77" t="s">
        <v>10</v>
      </c>
      <c r="B77">
        <f>_xlfn.NORM.S.DIST(B76,TRUE)</f>
        <v>5.692314900332901E-2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Frequency Dist</vt:lpstr>
      <vt:lpstr>One sample t-test</vt:lpstr>
      <vt:lpstr>Independent - 2 sample t-test</vt:lpstr>
      <vt:lpstr>Paired t-test</vt:lpstr>
      <vt:lpstr>Z-test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vrunda kotadiya</cp:lastModifiedBy>
  <dcterms:created xsi:type="dcterms:W3CDTF">2025-11-11T07:40:39Z</dcterms:created>
  <dcterms:modified xsi:type="dcterms:W3CDTF">2025-12-10T17:05:30Z</dcterms:modified>
</cp:coreProperties>
</file>