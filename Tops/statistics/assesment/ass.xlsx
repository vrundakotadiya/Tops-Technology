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ps\statistics\assesment\"/>
    </mc:Choice>
  </mc:AlternateContent>
  <xr:revisionPtr revIDLastSave="0" documentId="13_ncr:1_{0159B923-EFAC-44E9-ACCE-9218DA02FE14}" xr6:coauthVersionLast="47" xr6:coauthVersionMax="47" xr10:uidLastSave="{00000000-0000-0000-0000-000000000000}"/>
  <bookViews>
    <workbookView xWindow="-110" yWindow="-110" windowWidth="19420" windowHeight="10300" activeTab="2" xr2:uid="{7CB3DC36-E7E0-480B-8971-F973D7857CA7}"/>
  </bookViews>
  <sheets>
    <sheet name="Task-2" sheetId="1" r:id="rId1"/>
    <sheet name="Task-3" sheetId="2" r:id="rId2"/>
    <sheet name="Task-4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3" l="1"/>
  <c r="D11" i="3"/>
  <c r="D10" i="3"/>
  <c r="C11" i="3"/>
  <c r="C10" i="3"/>
  <c r="B11" i="3"/>
  <c r="B10" i="3"/>
  <c r="E4" i="3"/>
  <c r="E3" i="3"/>
  <c r="E2" i="3"/>
  <c r="D4" i="3"/>
  <c r="C4" i="3"/>
  <c r="B4" i="3"/>
  <c r="I8" i="2"/>
  <c r="E3" i="1" l="1"/>
  <c r="E2" i="1"/>
</calcChain>
</file>

<file path=xl/sharedStrings.xml><?xml version="1.0" encoding="utf-8"?>
<sst xmlns="http://schemas.openxmlformats.org/spreadsheetml/2006/main" count="32" uniqueCount="27">
  <si>
    <t>Company A</t>
  </si>
  <si>
    <t>Company B</t>
  </si>
  <si>
    <t>Covariance</t>
  </si>
  <si>
    <t>Correlation</t>
  </si>
  <si>
    <t>Group-1</t>
  </si>
  <si>
    <t>Group-2</t>
  </si>
  <si>
    <t>z-Test: Two Sample for Means</t>
  </si>
  <si>
    <t>Mean</t>
  </si>
  <si>
    <t>Known Variance</t>
  </si>
  <si>
    <t>Observations</t>
  </si>
  <si>
    <t>Hypothesized Mean Difference</t>
  </si>
  <si>
    <t>z</t>
  </si>
  <si>
    <t>P(Z&lt;=z) one-tail</t>
  </si>
  <si>
    <t>z Critical one-tail</t>
  </si>
  <si>
    <t>P(Z&lt;=z) two-tail</t>
  </si>
  <si>
    <t>z Critical two-tail</t>
  </si>
  <si>
    <t>chocolate</t>
  </si>
  <si>
    <t>vanilla</t>
  </si>
  <si>
    <t>strawberry</t>
  </si>
  <si>
    <t>male</t>
  </si>
  <si>
    <t>female</t>
  </si>
  <si>
    <t>c total</t>
  </si>
  <si>
    <t>r total</t>
  </si>
  <si>
    <t>expected</t>
  </si>
  <si>
    <t>chi-square</t>
  </si>
  <si>
    <t>0.134&gt;0.05</t>
  </si>
  <si>
    <t>reject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</si>
</sst>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0.000"/>
    <numFmt numFmtId="171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69" fontId="0" fillId="0" borderId="0" xfId="0" applyNumberFormat="1"/>
    <xf numFmtId="2" fontId="0" fillId="0" borderId="0" xfId="0" applyNumberFormat="1"/>
    <xf numFmtId="171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349250</xdr:colOff>
      <xdr:row>0</xdr:row>
      <xdr:rowOff>133350</xdr:rowOff>
    </xdr:from>
    <xdr:to>
      <xdr:col>19</xdr:col>
      <xdr:colOff>19050</xdr:colOff>
      <xdr:row>7</xdr:row>
      <xdr:rowOff>139700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A28901-3C7D-D217-02EA-9EABB2B7C6A1}"/>
            </a:ext>
          </a:extLst>
        </xdr:cNvPr>
        <xdr:cNvSpPr txBox="1"/>
      </xdr:nvSpPr>
      <xdr:spPr>
        <a:xfrm>
          <a:off x="6445250" y="133350"/>
          <a:ext cx="5156200" cy="1295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/>
            <a:t>2. The stock prices of Company A and B over 20 days are:</a:t>
          </a:r>
        </a:p>
        <a:p>
          <a:r>
            <a:rPr lang="en-IN"/>
            <a:t>• Company A: 45, 47, 48, 50, 52, 53, 55, 56, 58, 60, 62, 64, 65, 67, 69, 70, 72, 74, 76, 77 </a:t>
          </a:r>
        </a:p>
        <a:p>
          <a:r>
            <a:rPr lang="en-IN"/>
            <a:t>• Company B: 52, 54, 55, 57, 59, 60, 61, 62, 64, 66, 67, 69, 71, 73, 74, 76, 78, 80, 82, 83</a:t>
          </a:r>
        </a:p>
        <a:p>
          <a:endParaRPr lang="en-IN" sz="1100"/>
        </a:p>
        <a:p>
          <a:r>
            <a:rPr lang="en-IN"/>
            <a:t>Tasks:</a:t>
          </a:r>
        </a:p>
        <a:p>
          <a:r>
            <a:rPr lang="en-IN"/>
            <a:t> • Calculate Covariance and Pearson Correlation between A and B.</a:t>
          </a:r>
        </a:p>
        <a:p>
          <a:r>
            <a:rPr lang="en-IN"/>
            <a:t> • Interpret the nature of their relationship.</a:t>
          </a:r>
          <a:endParaRPr lang="en-IN" sz="1100"/>
        </a:p>
      </xdr:txBody>
    </xdr:sp>
    <xdr:clientData/>
  </xdr:twoCellAnchor>
  <xdr:twoCellAnchor>
    <xdr:from>
      <xdr:col>10</xdr:col>
      <xdr:colOff>349250</xdr:colOff>
      <xdr:row>8</xdr:row>
      <xdr:rowOff>101600</xdr:rowOff>
    </xdr:from>
    <xdr:to>
      <xdr:col>16</xdr:col>
      <xdr:colOff>304800</xdr:colOff>
      <xdr:row>13</xdr:row>
      <xdr:rowOff>6350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5341053-F6D5-CC6E-8E14-99CF21254EBB}"/>
            </a:ext>
          </a:extLst>
        </xdr:cNvPr>
        <xdr:cNvSpPr txBox="1"/>
      </xdr:nvSpPr>
      <xdr:spPr>
        <a:xfrm>
          <a:off x="6756400" y="1574800"/>
          <a:ext cx="3613150" cy="825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b="1"/>
            <a:t>Covariance is positive (97.53) means when Company A’s price increases</a:t>
          </a:r>
          <a:r>
            <a:rPr lang="en-IN" b="1" baseline="0"/>
            <a:t> </a:t>
          </a:r>
          <a:r>
            <a:rPr lang="en-IN" b="1"/>
            <a:t>Company B’s price also increases</a:t>
          </a:r>
          <a:r>
            <a:rPr lang="en-IN"/>
            <a:t>.</a:t>
          </a:r>
        </a:p>
        <a:p>
          <a:r>
            <a:rPr lang="en-IN" b="1"/>
            <a:t>Correlation tells direction + strength</a:t>
          </a:r>
          <a:r>
            <a:rPr lang="en-IN"/>
            <a:t>.</a:t>
          </a:r>
        </a:p>
        <a:p>
          <a:r>
            <a:rPr lang="en-IN" b="1"/>
            <a:t>correlation value is close to 1,</a:t>
          </a:r>
          <a:endParaRPr lang="en-IN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57150</xdr:colOff>
      <xdr:row>1</xdr:row>
      <xdr:rowOff>127000</xdr:rowOff>
    </xdr:from>
    <xdr:to>
      <xdr:col>18</xdr:col>
      <xdr:colOff>146050</xdr:colOff>
      <xdr:row>9</xdr:row>
      <xdr:rowOff>165100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FA11A55-E684-61F0-D1A1-0D1F560ABA6A}"/>
            </a:ext>
          </a:extLst>
        </xdr:cNvPr>
        <xdr:cNvSpPr txBox="1"/>
      </xdr:nvSpPr>
      <xdr:spPr>
        <a:xfrm>
          <a:off x="6153150" y="311150"/>
          <a:ext cx="4965700" cy="151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/>
            <a:t>3. A two-sample z-test is conducted to compare exam scores: </a:t>
          </a:r>
        </a:p>
        <a:p>
          <a:r>
            <a:rPr lang="en-IN"/>
            <a:t>• Group 1: [85, 88, 92, 87, 90] </a:t>
          </a:r>
        </a:p>
        <a:p>
          <a:r>
            <a:rPr lang="en-IN"/>
            <a:t>• Group 2: [78, 80, 75, 82, 76] </a:t>
          </a:r>
        </a:p>
        <a:p>
          <a:r>
            <a:rPr lang="en-IN"/>
            <a:t>o Test at 5% significance level. </a:t>
          </a:r>
        </a:p>
        <a:p>
          <a:r>
            <a:rPr lang="en-IN"/>
            <a:t>o Assume population std. dev = 5 for both groups.</a:t>
          </a:r>
        </a:p>
        <a:p>
          <a:r>
            <a:rPr lang="en-IN"/>
            <a:t> o Perform the test and state your conclusion</a:t>
          </a:r>
          <a:endParaRPr lang="en-I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539750</xdr:colOff>
      <xdr:row>0</xdr:row>
      <xdr:rowOff>165100</xdr:rowOff>
    </xdr:from>
    <xdr:to>
      <xdr:col>19</xdr:col>
      <xdr:colOff>241300</xdr:colOff>
      <xdr:row>7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B25854D-BC6E-93DF-66BE-0F695273A98C}"/>
            </a:ext>
          </a:extLst>
        </xdr:cNvPr>
        <xdr:cNvSpPr txBox="1"/>
      </xdr:nvSpPr>
      <xdr:spPr>
        <a:xfrm>
          <a:off x="6635750" y="165100"/>
          <a:ext cx="4578350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/>
            <a:t>4. A survey was conducted to check ice cream preference by gender: Chocolate Vanilla Strawberry </a:t>
          </a:r>
        </a:p>
        <a:p>
          <a:r>
            <a:rPr lang="en-IN"/>
            <a:t>Male 20 15 10 </a:t>
          </a:r>
        </a:p>
        <a:p>
          <a:r>
            <a:rPr lang="en-IN"/>
            <a:t>Female 25 20 30 </a:t>
          </a:r>
        </a:p>
        <a:p>
          <a:r>
            <a:rPr lang="en-IN"/>
            <a:t>• Perform a Chi-Square Test for Independence. </a:t>
          </a:r>
        </a:p>
        <a:p>
          <a:r>
            <a:rPr lang="en-IN"/>
            <a:t>• State H₀ and H₁. Interpret your result.</a:t>
          </a:r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9BA5E-B458-403D-BFCB-7516E0E4A71D}">
  <dimension ref="A1:G21"/>
  <sheetViews>
    <sheetView workbookViewId="0">
      <selection activeCell="H5" sqref="H5"/>
    </sheetView>
  </sheetViews>
  <sheetFormatPr defaultRowHeight="14.5" x14ac:dyDescent="0.35"/>
  <cols>
    <col min="1" max="1" width="10.36328125" bestFit="1" customWidth="1"/>
    <col min="2" max="2" width="10.26953125" bestFit="1" customWidth="1"/>
    <col min="4" max="4" width="10" bestFit="1" customWidth="1"/>
  </cols>
  <sheetData>
    <row r="1" spans="1:7" x14ac:dyDescent="0.35">
      <c r="A1" s="2" t="s">
        <v>0</v>
      </c>
      <c r="B1" s="2" t="s">
        <v>1</v>
      </c>
    </row>
    <row r="2" spans="1:7" x14ac:dyDescent="0.35">
      <c r="A2" s="1">
        <v>45</v>
      </c>
      <c r="B2" s="1">
        <v>52</v>
      </c>
      <c r="D2" s="3" t="s">
        <v>2</v>
      </c>
      <c r="E2" s="5">
        <f>_xlfn.COVARIANCE.S(A:A,B:B)</f>
        <v>97.526315789473685</v>
      </c>
    </row>
    <row r="3" spans="1:7" x14ac:dyDescent="0.35">
      <c r="A3" s="1">
        <v>47</v>
      </c>
      <c r="B3" s="1">
        <v>54</v>
      </c>
      <c r="D3" s="3" t="s">
        <v>3</v>
      </c>
      <c r="E3" s="4">
        <f>CORREL(A:A,B:B)</f>
        <v>0.99859572699637911</v>
      </c>
    </row>
    <row r="4" spans="1:7" x14ac:dyDescent="0.35">
      <c r="A4" s="1">
        <v>48</v>
      </c>
      <c r="B4" s="1">
        <v>55</v>
      </c>
    </row>
    <row r="5" spans="1:7" x14ac:dyDescent="0.35">
      <c r="A5" s="1">
        <v>50</v>
      </c>
      <c r="B5" s="1">
        <v>57</v>
      </c>
    </row>
    <row r="6" spans="1:7" x14ac:dyDescent="0.35">
      <c r="A6" s="1">
        <v>52</v>
      </c>
      <c r="B6" s="1">
        <v>59</v>
      </c>
    </row>
    <row r="7" spans="1:7" x14ac:dyDescent="0.35">
      <c r="A7" s="1">
        <v>53</v>
      </c>
      <c r="B7" s="1">
        <v>60</v>
      </c>
    </row>
    <row r="8" spans="1:7" x14ac:dyDescent="0.35">
      <c r="A8" s="1">
        <v>55</v>
      </c>
      <c r="B8" s="1">
        <v>61</v>
      </c>
    </row>
    <row r="9" spans="1:7" x14ac:dyDescent="0.35">
      <c r="A9" s="1">
        <v>56</v>
      </c>
      <c r="B9" s="1">
        <v>62</v>
      </c>
    </row>
    <row r="10" spans="1:7" x14ac:dyDescent="0.35">
      <c r="A10" s="1">
        <v>58</v>
      </c>
      <c r="B10" s="1">
        <v>64</v>
      </c>
    </row>
    <row r="11" spans="1:7" x14ac:dyDescent="0.35">
      <c r="A11" s="1">
        <v>60</v>
      </c>
      <c r="B11" s="1">
        <v>66</v>
      </c>
    </row>
    <row r="12" spans="1:7" ht="15" thickBot="1" x14ac:dyDescent="0.4">
      <c r="A12" s="1">
        <v>62</v>
      </c>
      <c r="B12" s="1">
        <v>67</v>
      </c>
    </row>
    <row r="13" spans="1:7" x14ac:dyDescent="0.35">
      <c r="A13" s="1">
        <v>64</v>
      </c>
      <c r="B13" s="1">
        <v>69</v>
      </c>
      <c r="E13" s="9"/>
      <c r="F13" s="9"/>
      <c r="G13" s="9"/>
    </row>
    <row r="14" spans="1:7" x14ac:dyDescent="0.35">
      <c r="A14" s="1">
        <v>65</v>
      </c>
      <c r="B14" s="1">
        <v>71</v>
      </c>
      <c r="E14" s="7"/>
      <c r="F14" s="7"/>
      <c r="G14" s="7"/>
    </row>
    <row r="15" spans="1:7" ht="15" thickBot="1" x14ac:dyDescent="0.4">
      <c r="A15" s="1">
        <v>67</v>
      </c>
      <c r="B15" s="1">
        <v>73</v>
      </c>
      <c r="E15" s="8"/>
      <c r="F15" s="8"/>
      <c r="G15" s="8"/>
    </row>
    <row r="16" spans="1:7" x14ac:dyDescent="0.35">
      <c r="A16" s="1">
        <v>69</v>
      </c>
      <c r="B16" s="1">
        <v>74</v>
      </c>
    </row>
    <row r="17" spans="1:2" x14ac:dyDescent="0.35">
      <c r="A17" s="1">
        <v>70</v>
      </c>
      <c r="B17" s="1">
        <v>76</v>
      </c>
    </row>
    <row r="18" spans="1:2" x14ac:dyDescent="0.35">
      <c r="A18" s="1">
        <v>72</v>
      </c>
      <c r="B18" s="1">
        <v>78</v>
      </c>
    </row>
    <row r="19" spans="1:2" x14ac:dyDescent="0.35">
      <c r="A19" s="1">
        <v>74</v>
      </c>
      <c r="B19" s="1">
        <v>80</v>
      </c>
    </row>
    <row r="20" spans="1:2" x14ac:dyDescent="0.35">
      <c r="A20" s="1">
        <v>76</v>
      </c>
      <c r="B20" s="1">
        <v>82</v>
      </c>
    </row>
    <row r="21" spans="1:2" x14ac:dyDescent="0.35">
      <c r="A21" s="1">
        <v>77</v>
      </c>
      <c r="B21" s="1">
        <v>83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5827-0DD4-40DE-895C-2C45C0BFD718}">
  <dimension ref="A1:I16"/>
  <sheetViews>
    <sheetView workbookViewId="0">
      <selection activeCell="E2" sqref="E2"/>
    </sheetView>
  </sheetViews>
  <sheetFormatPr defaultRowHeight="14.5" x14ac:dyDescent="0.35"/>
  <cols>
    <col min="4" max="4" width="26.81640625" bestFit="1" customWidth="1"/>
    <col min="5" max="5" width="11.81640625" bestFit="1" customWidth="1"/>
  </cols>
  <sheetData>
    <row r="1" spans="1:9" x14ac:dyDescent="0.35">
      <c r="A1" t="s">
        <v>4</v>
      </c>
      <c r="B1" t="s">
        <v>5</v>
      </c>
    </row>
    <row r="2" spans="1:9" x14ac:dyDescent="0.35">
      <c r="A2">
        <v>85</v>
      </c>
      <c r="B2">
        <v>78</v>
      </c>
      <c r="D2" s="6"/>
    </row>
    <row r="3" spans="1:9" x14ac:dyDescent="0.35">
      <c r="A3">
        <v>88</v>
      </c>
      <c r="B3">
        <v>80</v>
      </c>
    </row>
    <row r="4" spans="1:9" x14ac:dyDescent="0.35">
      <c r="A4">
        <v>92</v>
      </c>
      <c r="B4">
        <v>75</v>
      </c>
    </row>
    <row r="5" spans="1:9" x14ac:dyDescent="0.35">
      <c r="A5">
        <v>87</v>
      </c>
      <c r="B5">
        <v>82</v>
      </c>
      <c r="D5" t="s">
        <v>6</v>
      </c>
    </row>
    <row r="6" spans="1:9" ht="15" thickBot="1" x14ac:dyDescent="0.4">
      <c r="A6">
        <v>90</v>
      </c>
      <c r="B6">
        <v>76</v>
      </c>
    </row>
    <row r="7" spans="1:9" x14ac:dyDescent="0.35">
      <c r="D7" s="9"/>
      <c r="E7" s="9">
        <v>85</v>
      </c>
      <c r="F7" s="9">
        <v>78</v>
      </c>
    </row>
    <row r="8" spans="1:9" x14ac:dyDescent="0.35">
      <c r="D8" s="7" t="s">
        <v>7</v>
      </c>
      <c r="E8" s="7">
        <v>89.25</v>
      </c>
      <c r="F8" s="7">
        <v>78.25</v>
      </c>
      <c r="H8" s="5"/>
      <c r="I8" s="5">
        <f>AVERAGE(B2:B6)</f>
        <v>78.2</v>
      </c>
    </row>
    <row r="9" spans="1:9" x14ac:dyDescent="0.35">
      <c r="D9" s="7" t="s">
        <v>8</v>
      </c>
      <c r="E9" s="7">
        <v>25</v>
      </c>
      <c r="F9" s="7">
        <v>25</v>
      </c>
    </row>
    <row r="10" spans="1:9" x14ac:dyDescent="0.35">
      <c r="D10" s="7" t="s">
        <v>9</v>
      </c>
      <c r="E10" s="7">
        <v>4</v>
      </c>
      <c r="F10" s="7">
        <v>4</v>
      </c>
    </row>
    <row r="11" spans="1:9" x14ac:dyDescent="0.35">
      <c r="D11" s="7" t="s">
        <v>10</v>
      </c>
      <c r="E11" s="7">
        <v>0</v>
      </c>
      <c r="F11" s="7"/>
    </row>
    <row r="12" spans="1:9" x14ac:dyDescent="0.35">
      <c r="D12" s="7" t="s">
        <v>11</v>
      </c>
      <c r="E12" s="7">
        <v>3.1112698372208092</v>
      </c>
      <c r="F12" s="7"/>
    </row>
    <row r="13" spans="1:9" x14ac:dyDescent="0.35">
      <c r="D13" s="7" t="s">
        <v>12</v>
      </c>
      <c r="E13" s="7">
        <v>9.31423148990973E-4</v>
      </c>
      <c r="F13" s="7"/>
    </row>
    <row r="14" spans="1:9" x14ac:dyDescent="0.35">
      <c r="D14" s="7" t="s">
        <v>13</v>
      </c>
      <c r="E14" s="7">
        <v>1.6448536269514715</v>
      </c>
      <c r="F14" s="7"/>
    </row>
    <row r="15" spans="1:9" x14ac:dyDescent="0.35">
      <c r="D15" s="7" t="s">
        <v>14</v>
      </c>
      <c r="E15" s="7">
        <v>1.862846297981946E-3</v>
      </c>
      <c r="F15" s="7"/>
    </row>
    <row r="16" spans="1:9" ht="15" thickBot="1" x14ac:dyDescent="0.4">
      <c r="D16" s="8" t="s">
        <v>15</v>
      </c>
      <c r="E16" s="8">
        <v>1.9599639845400536</v>
      </c>
      <c r="F16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F3CB0-02B6-4A7C-B522-4FC846D0D2EB}">
  <dimension ref="A1:E14"/>
  <sheetViews>
    <sheetView tabSelected="1" workbookViewId="0">
      <selection activeCell="C1" sqref="C1"/>
    </sheetView>
  </sheetViews>
  <sheetFormatPr defaultRowHeight="14.5" x14ac:dyDescent="0.35"/>
  <cols>
    <col min="1" max="1" width="9.90625" bestFit="1" customWidth="1"/>
    <col min="2" max="2" width="11.81640625" bestFit="1" customWidth="1"/>
    <col min="4" max="4" width="9.90625" bestFit="1" customWidth="1"/>
  </cols>
  <sheetData>
    <row r="1" spans="1:5" x14ac:dyDescent="0.35">
      <c r="B1" t="s">
        <v>16</v>
      </c>
      <c r="C1" t="s">
        <v>17</v>
      </c>
      <c r="D1" t="s">
        <v>18</v>
      </c>
      <c r="E1" t="s">
        <v>22</v>
      </c>
    </row>
    <row r="2" spans="1:5" x14ac:dyDescent="0.35">
      <c r="A2" t="s">
        <v>19</v>
      </c>
      <c r="B2">
        <v>20</v>
      </c>
      <c r="C2">
        <v>15</v>
      </c>
      <c r="D2">
        <v>10</v>
      </c>
      <c r="E2">
        <f>SUM(B2:D2)</f>
        <v>45</v>
      </c>
    </row>
    <row r="3" spans="1:5" x14ac:dyDescent="0.35">
      <c r="A3" t="s">
        <v>20</v>
      </c>
      <c r="B3">
        <v>25</v>
      </c>
      <c r="C3">
        <v>20</v>
      </c>
      <c r="D3">
        <v>30</v>
      </c>
      <c r="E3">
        <f>SUM(B3:D3)</f>
        <v>75</v>
      </c>
    </row>
    <row r="4" spans="1:5" x14ac:dyDescent="0.35">
      <c r="A4" t="s">
        <v>21</v>
      </c>
      <c r="B4">
        <f>SUM(B2:B3)</f>
        <v>45</v>
      </c>
      <c r="C4">
        <f>SUM(C2:C3)</f>
        <v>35</v>
      </c>
      <c r="D4">
        <f>SUM(D2:D3)</f>
        <v>40</v>
      </c>
      <c r="E4">
        <f>SUM(B4:D4)</f>
        <v>120</v>
      </c>
    </row>
    <row r="8" spans="1:5" x14ac:dyDescent="0.35">
      <c r="A8" t="s">
        <v>23</v>
      </c>
    </row>
    <row r="9" spans="1:5" x14ac:dyDescent="0.35">
      <c r="B9" t="s">
        <v>16</v>
      </c>
      <c r="C9" t="s">
        <v>17</v>
      </c>
      <c r="D9" t="s">
        <v>18</v>
      </c>
    </row>
    <row r="10" spans="1:5" x14ac:dyDescent="0.35">
      <c r="A10" t="s">
        <v>19</v>
      </c>
      <c r="B10">
        <f>E2*B4/E4</f>
        <v>16.875</v>
      </c>
      <c r="C10">
        <f>E2*C4/E4</f>
        <v>13.125</v>
      </c>
      <c r="D10">
        <f>E2*D4/E4</f>
        <v>15</v>
      </c>
    </row>
    <row r="11" spans="1:5" x14ac:dyDescent="0.35">
      <c r="A11" t="s">
        <v>20</v>
      </c>
      <c r="B11">
        <f>E3*B4/E4</f>
        <v>28.125</v>
      </c>
      <c r="C11">
        <f>E3*C4/E4</f>
        <v>21.875</v>
      </c>
      <c r="D11">
        <f>E3*D4/E4</f>
        <v>25</v>
      </c>
    </row>
    <row r="13" spans="1:5" x14ac:dyDescent="0.35">
      <c r="A13" t="s">
        <v>24</v>
      </c>
      <c r="B13">
        <f>_xlfn.CHISQ.TEST(B2:D3,B10:D11)</f>
        <v>0.1339107145312913</v>
      </c>
    </row>
    <row r="14" spans="1:5" x14ac:dyDescent="0.35">
      <c r="B14" t="s">
        <v>25</v>
      </c>
      <c r="C14" t="s">
        <v>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Task-2</vt:lpstr>
      <vt:lpstr>Task-3</vt:lpstr>
      <vt:lpstr>Task-4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vrunda kotadiya</dc:creator>
  <cp:lastModifiedBy>vrunda kotadiya</cp:lastModifiedBy>
  <dcterms:created xsi:type="dcterms:W3CDTF">2025-12-08T06:42:43Z</dcterms:created>
  <dcterms:modified xsi:type="dcterms:W3CDTF">2025-12-10T18:07:24Z</dcterms:modified>
</cp:coreProperties>
</file>